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la\Desktop\"/>
    </mc:Choice>
  </mc:AlternateContent>
  <xr:revisionPtr revIDLastSave="0" documentId="8_{4F51B92D-86B8-440B-BFF5-E0CFFA60D667}" xr6:coauthVersionLast="47" xr6:coauthVersionMax="47" xr10:uidLastSave="{00000000-0000-0000-0000-000000000000}"/>
  <bookViews>
    <workbookView xWindow="-120" yWindow="-120" windowWidth="29040" windowHeight="15720" xr2:uid="{D01705A7-6560-4507-A6DB-C085A27183A3}"/>
  </bookViews>
  <sheets>
    <sheet name="Bitacora_de_Insidentes_Riesgo_T" sheetId="1" r:id="rId1"/>
  </sheets>
  <externalReferences>
    <externalReference r:id="rId2"/>
  </externalReferences>
  <definedNames>
    <definedName name="_xlnm.Print_Area" localSheetId="0">Bitacora_de_Insidentes_Riesgo_T!$A$1:$R$8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I5" i="1" s="1"/>
  <c r="J5" i="1"/>
  <c r="G5" i="1"/>
  <c r="A5" i="1"/>
</calcChain>
</file>

<file path=xl/sharedStrings.xml><?xml version="1.0" encoding="utf-8"?>
<sst xmlns="http://schemas.openxmlformats.org/spreadsheetml/2006/main" count="25" uniqueCount="24">
  <si>
    <t>BITACORA DE INCIDENTES  - RIESGO TECNOLÓGICO  - GESTIÓN 2021</t>
  </si>
  <si>
    <t>Cod.</t>
  </si>
  <si>
    <t>Fecha</t>
  </si>
  <si>
    <t>Hora</t>
  </si>
  <si>
    <t>Funcionario que reporta</t>
  </si>
  <si>
    <t>Funcionario a cargo</t>
  </si>
  <si>
    <t>Categoria</t>
  </si>
  <si>
    <t>Descripción</t>
  </si>
  <si>
    <t>Consecuencia</t>
  </si>
  <si>
    <t>NIVEL SEVERIDAD    Alto/Medio/Bajo</t>
  </si>
  <si>
    <t>Clasificación de Incidentes de seguridad de la información</t>
  </si>
  <si>
    <t>A</t>
  </si>
  <si>
    <t>B</t>
  </si>
  <si>
    <t>C</t>
  </si>
  <si>
    <t>D</t>
  </si>
  <si>
    <t>E</t>
  </si>
  <si>
    <t>Acciones Tomadas</t>
  </si>
  <si>
    <t>Revision Post incidente</t>
  </si>
  <si>
    <t xml:space="preserve">Costos de Incidentes de Seguridad de la Informacion </t>
  </si>
  <si>
    <t>Marco Ayala</t>
  </si>
  <si>
    <t>Cod: 001</t>
  </si>
  <si>
    <t>corte de energia electrica en Agencia Ejercito</t>
  </si>
  <si>
    <t>Reloj Biometrico no prende AQCT apagado</t>
  </si>
  <si>
    <t>Se restablecieron manualmente los esquipos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</si>
</sst>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FFFFFF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10"/>
      <name val="Times New Roman"/>
      <family val="1"/>
      <charset val="204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top" wrapText="1"/>
    </xf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3" borderId="4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164" fontId="6" fillId="4" borderId="5" xfId="1" applyNumberFormat="1" applyFont="1" applyFill="1" applyBorder="1" applyAlignment="1">
      <alignment horizontal="center" vertical="center" wrapText="1"/>
    </xf>
    <xf numFmtId="164" fontId="6" fillId="5" borderId="5" xfId="1" applyNumberFormat="1" applyFont="1" applyFill="1" applyBorder="1" applyAlignment="1">
      <alignment horizontal="left" vertical="center" wrapText="1"/>
    </xf>
    <xf numFmtId="164" fontId="6" fillId="5" borderId="5" xfId="1" applyNumberFormat="1" applyFont="1" applyFill="1" applyBorder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 wrapText="1"/>
    </xf>
    <xf numFmtId="164" fontId="6" fillId="5" borderId="2" xfId="1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A793EEC9-7AAE-4C61-B437-CE2144F01656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#,##0_);\-#,##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rgb="FF000000"/>
          <bgColor rgb="FF1F497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ayala\Desktop\Obs.%20Auditoria%20032-2023\Riesgo%20Tecnologico.xlsx" TargetMode="External"/><Relationship Id="rId1" Type="http://schemas.openxmlformats.org/officeDocument/2006/relationships/externalLinkPath" Target="file:///E:\mayala\Desktop\Obs.%20Auditoria%20032-2023\Riesgo%20Tecnolog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_Riesgo_Tecnologico"/>
      <sheetName val="Registro_Humedad_Temperatura"/>
      <sheetName val="Bitacora_de_Insidentes_Riesgo_T"/>
      <sheetName val="Descripciones"/>
    </sheetNames>
    <sheetDataSet>
      <sheetData sheetId="0"/>
      <sheetData sheetId="1" refreshError="1"/>
      <sheetData sheetId="2"/>
      <sheetData sheetId="3">
        <row r="4">
          <cell r="A4" t="str">
            <v>Cod: 001</v>
          </cell>
          <cell r="B4" t="str">
            <v xml:space="preserve">Pérdida de servicio;  </v>
          </cell>
          <cell r="C4" t="str">
            <v>1_Perdida Comunicaciones,
2_Perdida Energia Electrica</v>
          </cell>
        </row>
        <row r="5">
          <cell r="A5" t="str">
            <v>Cod: 002</v>
          </cell>
          <cell r="B5" t="str">
            <v>Pérdida de equipo o instalaciones;</v>
          </cell>
          <cell r="C5" t="str">
            <v>1_Siniestro de activo
2_Mala Instalacion
3_Cable de red dañado</v>
          </cell>
        </row>
        <row r="6">
          <cell r="A6" t="str">
            <v>Cod: 003</v>
          </cell>
          <cell r="B6" t="str">
            <v xml:space="preserve">Sobrecargo o mal funcionamiento del sistema; </v>
          </cell>
          <cell r="C6" t="str">
            <v>1_Instalacion no permitida
2_Actualizacion
3_Peroifericos con fallas</v>
          </cell>
        </row>
        <row r="7">
          <cell r="A7" t="str">
            <v>Cod: 004</v>
          </cell>
          <cell r="B7" t="str">
            <v xml:space="preserve">Errores humanos; </v>
          </cell>
          <cell r="C7" t="str">
            <v>1_Derame de liquidos
2_Golpe accidental
3_Daño de activo</v>
          </cell>
        </row>
        <row r="8">
          <cell r="A8" t="str">
            <v>Cod: 005</v>
          </cell>
          <cell r="B8" t="str">
            <v xml:space="preserve">Incumplimiento de políticas o procedimientos; </v>
          </cell>
          <cell r="C8" t="str">
            <v>1_Salida de activo
2_Instalacion no permitida</v>
          </cell>
        </row>
        <row r="9">
          <cell r="A9" t="str">
            <v>Cod: 006</v>
          </cell>
          <cell r="B9" t="str">
            <v xml:space="preserve">Deficiencias de controles de seguridad física; </v>
          </cell>
          <cell r="C9" t="str">
            <v xml:space="preserve">1_Daño de Activo </v>
          </cell>
        </row>
        <row r="10">
          <cell r="A10" t="str">
            <v>Cod: 007</v>
          </cell>
          <cell r="B10" t="str">
            <v xml:space="preserve">Cambios incontrolables en el sistema; </v>
          </cell>
          <cell r="C10" t="str">
            <v>1_Mala instalacion de una actualizacion
2_Aplicacion dañada</v>
          </cell>
        </row>
        <row r="11">
          <cell r="A11" t="str">
            <v>Cod: 008</v>
          </cell>
          <cell r="B11" t="str">
            <v xml:space="preserve">Mal funcionamiento del software; </v>
          </cell>
          <cell r="C11" t="str">
            <v>1_Daño en el Sistema Operativo
2_Parches de Seguridad</v>
          </cell>
        </row>
        <row r="12">
          <cell r="A12" t="str">
            <v>Cod: 009</v>
          </cell>
          <cell r="B12" t="str">
            <v xml:space="preserve">Mal funcionamiento del hardware; </v>
          </cell>
          <cell r="C12" t="str">
            <v>1_Daño de Disco
2_Daño de MemoriaRAM
3_Daño de accesorios</v>
          </cell>
        </row>
        <row r="13">
          <cell r="A13" t="str">
            <v>Cod: 010</v>
          </cell>
          <cell r="B13" t="str">
            <v xml:space="preserve">Código malicioso; </v>
          </cell>
          <cell r="C13" t="str">
            <v>1_Ingreso a paginas no permitidas
2_inslacion de software no permitido</v>
          </cell>
        </row>
        <row r="14">
          <cell r="A14" t="str">
            <v>Cod: 011</v>
          </cell>
          <cell r="B14" t="str">
            <v xml:space="preserve">Negación de servicio; </v>
          </cell>
          <cell r="C14" t="str">
            <v>1_Ayuda de servicios externos
2_Soporte externo no atentida
3_Soporte externo a destiempo</v>
          </cell>
        </row>
        <row r="15">
          <cell r="A15" t="str">
            <v>Cod: 012</v>
          </cell>
          <cell r="B15" t="str">
            <v>Errores resultantes de datos incompletos o no actualizados;</v>
          </cell>
          <cell r="C15" t="str">
            <v>1_Aplicaciones mal actualizados
2_Soporte Interno no tendido en el CORE</v>
          </cell>
        </row>
        <row r="16">
          <cell r="A16" t="str">
            <v>Cod: 013</v>
          </cell>
          <cell r="B16" t="str">
            <v>Violaciones en la confidencialidad e integridad de la información;</v>
          </cell>
          <cell r="C16" t="str">
            <v>1_Divulgacion de la informacion
2_fuga de informacion</v>
          </cell>
        </row>
        <row r="17">
          <cell r="A17" t="str">
            <v>Cod: 014</v>
          </cell>
          <cell r="B17" t="str">
            <v>Mal uso de los sistemas de información;</v>
          </cell>
          <cell r="C17" t="str">
            <v>1_Desconocieminto de manejo de la aplicación
2_Desconocimineto de manejo del CORE
3_Desconocimiento de manejo Offimatica</v>
          </cell>
        </row>
        <row r="18">
          <cell r="A18" t="str">
            <v>Cod: 015</v>
          </cell>
          <cell r="B18" t="str">
            <v>Accesos no autorizados exitosos, sin perjuicios visibles a componentes tecnológicos;</v>
          </cell>
          <cell r="C18" t="str">
            <v>1_Evidencia de Navegacion a pagina no permitida
2_Conexion de componente USB a otro equipo</v>
          </cell>
        </row>
        <row r="19">
          <cell r="A19" t="str">
            <v>Cod: 016</v>
          </cell>
          <cell r="B19" t="str">
            <v>Intentos recurrentes y no recurrentes de acceso no autorizado.</v>
          </cell>
          <cell r="C19" t="str">
            <v>1_Ingreso al CPD sin autorizacion
2_Ingreso al CPD sin registro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AE8EB-604F-419B-B116-2EECA644F87E}" name="Tabla1" displayName="Tabla1" ref="A4:R5" totalsRowShown="0" headerRowDxfId="20" dataDxfId="19" tableBorderDxfId="18" dataCellStyle="Normal 2">
  <autoFilter ref="A4:R5" xr:uid="{00000000-0009-0000-0100-000001000000}"/>
  <tableColumns count="18">
    <tableColumn id="1" xr3:uid="{647F5829-8844-4DD8-980A-7DE68F99722F}" name="Cod." dataDxfId="17">
      <calculatedColumnFormula>ROW()-4</calculatedColumnFormula>
    </tableColumn>
    <tableColumn id="2" xr3:uid="{764CDC17-7D02-4AD1-BD0A-6E225CD9EC6A}" name="Fecha" dataDxfId="16"/>
    <tableColumn id="3" xr3:uid="{78FF3AF6-03F5-4BB5-8D8E-3A1811576BB2}" name="Hora" dataDxfId="15"/>
    <tableColumn id="4" xr3:uid="{C6634164-FF22-4FF1-B3E3-2AC3956756CA}" name="Funcionario que reporta" dataDxfId="14"/>
    <tableColumn id="5" xr3:uid="{54BD6D1B-3057-4AD7-A0C3-AE1D10F03D99}" name="Funcionario a cargo" dataDxfId="13" dataCellStyle="Normal 2"/>
    <tableColumn id="6" xr3:uid="{7D3561B3-39EA-4B3A-BB6C-30A58D7FA309}" name="Categoria" dataDxfId="12" dataCellStyle="Normal 2"/>
    <tableColumn id="7" xr3:uid="{2D407CAD-4D80-4373-8E38-05558F833BFB}" name="Descripción" dataDxfId="11" dataCellStyle="Normal 2">
      <calculatedColumnFormula>IFERROR(VLOOKUP(Tabla1[[#This Row],[Categoria]],[1]Descripciones!A4:C19,3),"-")</calculatedColumnFormula>
    </tableColumn>
    <tableColumn id="8" xr3:uid="{5DE2E9CE-63EA-47BD-AEAE-630CB9891595}" name="Consecuencia" dataDxfId="10" dataCellStyle="Normal 2"/>
    <tableColumn id="9" xr3:uid="{388D90E1-751A-4509-AFB9-9E1567E18167}" name="NIVEL SEVERIDAD    Alto/Medio/Bajo" dataDxfId="9" dataCellStyle="Normal 2">
      <calculatedColumnFormula>IF(Tabla1[[#This Row],[E]]&gt;7,"Critico",IF(Tabla1[[#This Row],[E]]&gt;5,"Importante",IF(Tabla1[[#This Row],[E]]&gt;3,"Medio",IF(Tabla1[[#This Row],[E]]&gt;1,"Bajo","Muy Bajo"))))</calculatedColumnFormula>
    </tableColumn>
    <tableColumn id="10" xr3:uid="{EFD48922-1816-4DBC-A15C-D68F14654ADC}" name="Clasificación de Incidentes de seguridad de la información" dataDxfId="8" dataCellStyle="Normal 2">
      <calculatedColumnFormula>IFERROR(VLOOKUP(Tabla1[[#This Row],[Categoria]],[1]Descripciones!A4:B19,2),"-")</calculatedColumnFormula>
    </tableColumn>
    <tableColumn id="11" xr3:uid="{D4FE42E4-2AF7-4FC2-AB3B-48B959E4249B}" name="A" dataDxfId="7" dataCellStyle="Normal 2"/>
    <tableColumn id="18" xr3:uid="{CC221C07-98C5-4589-A58C-1C52B02FFF89}" name="B" dataDxfId="6" dataCellStyle="Normal 2"/>
    <tableColumn id="17" xr3:uid="{B11AA5CF-84ED-441F-B01E-CC697454C3E9}" name="C" dataDxfId="5" dataCellStyle="Normal 2"/>
    <tableColumn id="16" xr3:uid="{70FFE4E7-25BA-47B7-992F-8C335788B4D1}" name="D" dataDxfId="4" dataCellStyle="Normal 2"/>
    <tableColumn id="15" xr3:uid="{F1DFDC85-4902-409B-9241-ACF08DD62C3B}" name="E" dataDxfId="3" dataCellStyle="Normal 2">
      <calculatedColumnFormula>SUM(Tabla1[[#This Row],[A]:[D]])</calculatedColumnFormula>
    </tableColumn>
    <tableColumn id="12" xr3:uid="{38F1B5D1-74F5-4195-BB7D-5D0BEC734606}" name="Acciones Tomadas" dataDxfId="2"/>
    <tableColumn id="14" xr3:uid="{395B6AC5-FF10-4B07-A795-E5E21EDCFF04}" name="Revision Post incidente" dataDxfId="1"/>
    <tableColumn id="13" xr3:uid="{7D12E774-8531-4244-A6C2-DB72D1D7D6C0}" name="Costos de Incidentes de Seguridad de la Informacion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A212-B90D-42CA-BFE5-1DC1B533059A}">
  <sheetPr>
    <pageSetUpPr fitToPage="1"/>
  </sheetPr>
  <dimension ref="A1:R100"/>
  <sheetViews>
    <sheetView tabSelected="1" workbookViewId="0">
      <selection activeCell="R6" sqref="R6"/>
    </sheetView>
  </sheetViews>
  <sheetFormatPr baseColWidth="10" defaultRowHeight="15" x14ac:dyDescent="0.25"/>
  <cols>
    <col min="1" max="1" width="8.5703125" style="1" bestFit="1" customWidth="1"/>
    <col min="2" max="2" width="9.42578125" style="1" bestFit="1" customWidth="1"/>
    <col min="3" max="3" width="8.7109375" style="1" bestFit="1" customWidth="1"/>
    <col min="4" max="4" width="21.7109375" style="1" bestFit="1" customWidth="1"/>
    <col min="5" max="5" width="18.28515625" style="1" bestFit="1" customWidth="1"/>
    <col min="6" max="6" width="11.85546875" style="1" bestFit="1" customWidth="1"/>
    <col min="7" max="7" width="37" style="6" customWidth="1"/>
    <col min="8" max="8" width="14.7109375" style="19" bestFit="1" customWidth="1"/>
    <col min="9" max="9" width="17.140625" style="1" bestFit="1" customWidth="1"/>
    <col min="10" max="10" width="61.5703125" style="1" bestFit="1" customWidth="1"/>
    <col min="11" max="11" width="6.5703125" style="1" bestFit="1" customWidth="1"/>
    <col min="12" max="13" width="6.42578125" style="1" bestFit="1" customWidth="1"/>
    <col min="14" max="14" width="6.5703125" style="1" bestFit="1" customWidth="1"/>
    <col min="15" max="15" width="6.28515625" style="1" bestFit="1" customWidth="1"/>
    <col min="16" max="17" width="43.5703125" style="1" customWidth="1"/>
    <col min="18" max="18" width="33.7109375" style="1" bestFit="1" customWidth="1"/>
    <col min="19" max="16384" width="11.42578125" style="1"/>
  </cols>
  <sheetData>
    <row r="1" spans="1:18" x14ac:dyDescent="0.25">
      <c r="G1" s="1"/>
      <c r="H1" s="1"/>
    </row>
    <row r="2" spans="1:18" x14ac:dyDescent="0.25">
      <c r="G2" s="1"/>
      <c r="H2" s="1"/>
    </row>
    <row r="3" spans="1:18" ht="23.25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6" customFormat="1" ht="22.5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5" t="s">
        <v>17</v>
      </c>
      <c r="R4" s="5" t="s">
        <v>18</v>
      </c>
    </row>
    <row r="5" spans="1:18" ht="33.950000000000003" customHeight="1" x14ac:dyDescent="0.25">
      <c r="A5" s="7">
        <f t="shared" ref="A5" si="0">ROW()-4</f>
        <v>1</v>
      </c>
      <c r="B5" s="8">
        <v>44734</v>
      </c>
      <c r="C5" s="9">
        <v>0.54166666666666696</v>
      </c>
      <c r="D5" s="9" t="s">
        <v>19</v>
      </c>
      <c r="E5" s="10" t="s">
        <v>19</v>
      </c>
      <c r="F5" s="10" t="s">
        <v>20</v>
      </c>
      <c r="G5" s="11" t="str">
        <f>IFERROR(VLOOKUP(Tabla1[[#This Row],[Categoria]],[1]Descripciones!A4:C19,3),"-")</f>
        <v>1_Perdida Comunicaciones,
2_Perdida Energia Electrica</v>
      </c>
      <c r="H5" s="10">
        <v>5</v>
      </c>
      <c r="I5" s="12" t="str">
        <f>IF(Tabla1[[#This Row],[E]]&gt;7,"Critico",IF(Tabla1[[#This Row],[E]]&gt;5,"Importante",IF(Tabla1[[#This Row],[E]]&gt;3,"Medio",IF(Tabla1[[#This Row],[E]]&gt;1,"Bajo","Muy Bajo"))))</f>
        <v>Critico</v>
      </c>
      <c r="J5" s="11" t="str">
        <f>IFERROR(VLOOKUP(Tabla1[[#This Row],[Categoria]],[1]Descripciones!A4:B19,2),"-")</f>
        <v xml:space="preserve">Pérdida de servicio;  </v>
      </c>
      <c r="K5" s="13">
        <v>7</v>
      </c>
      <c r="L5" s="13">
        <v>1</v>
      </c>
      <c r="M5" s="13">
        <v>3</v>
      </c>
      <c r="N5" s="13">
        <v>1</v>
      </c>
      <c r="O5" s="14">
        <f>SUM(Tabla1[[#This Row],[A]:[D]])</f>
        <v>12</v>
      </c>
      <c r="P5" s="15" t="s">
        <v>21</v>
      </c>
      <c r="Q5" s="16" t="s">
        <v>22</v>
      </c>
      <c r="R5" s="16" t="s">
        <v>23</v>
      </c>
    </row>
    <row r="6" spans="1:18" ht="33.950000000000003" customHeight="1" x14ac:dyDescent="0.25">
      <c r="A6" s="17"/>
      <c r="G6" s="18"/>
      <c r="I6" s="20"/>
      <c r="J6" s="17"/>
      <c r="O6" s="17"/>
    </row>
    <row r="7" spans="1:18" ht="33.950000000000003" customHeight="1" x14ac:dyDescent="0.25">
      <c r="A7" s="17"/>
      <c r="G7" s="18"/>
      <c r="I7" s="20"/>
      <c r="J7" s="17"/>
      <c r="O7" s="17"/>
    </row>
    <row r="8" spans="1:18" ht="33.950000000000003" customHeight="1" x14ac:dyDescent="0.25">
      <c r="A8" s="17"/>
      <c r="G8" s="18"/>
      <c r="I8" s="20"/>
      <c r="J8" s="17"/>
      <c r="O8" s="17"/>
    </row>
    <row r="9" spans="1:18" ht="33.950000000000003" customHeight="1" x14ac:dyDescent="0.25">
      <c r="A9" s="17"/>
      <c r="G9" s="18"/>
      <c r="I9" s="20"/>
      <c r="J9" s="17"/>
      <c r="O9" s="17"/>
    </row>
    <row r="10" spans="1:18" ht="33.950000000000003" customHeight="1" x14ac:dyDescent="0.25">
      <c r="A10" s="17"/>
      <c r="G10" s="18"/>
      <c r="I10" s="20"/>
      <c r="J10" s="17"/>
      <c r="O10" s="17"/>
    </row>
    <row r="11" spans="1:18" ht="33.950000000000003" customHeight="1" x14ac:dyDescent="0.25">
      <c r="A11" s="17"/>
      <c r="G11" s="18"/>
      <c r="I11" s="20"/>
      <c r="J11" s="17"/>
      <c r="O11" s="17"/>
    </row>
    <row r="12" spans="1:18" ht="33.950000000000003" customHeight="1" x14ac:dyDescent="0.25">
      <c r="A12" s="17"/>
      <c r="G12" s="18"/>
      <c r="I12" s="20"/>
      <c r="J12" s="17"/>
      <c r="O12" s="17"/>
    </row>
    <row r="13" spans="1:18" ht="33.950000000000003" customHeight="1" x14ac:dyDescent="0.25">
      <c r="A13" s="17"/>
      <c r="G13" s="18"/>
      <c r="I13" s="20"/>
      <c r="J13" s="17"/>
      <c r="O13" s="17"/>
    </row>
    <row r="14" spans="1:18" ht="33.950000000000003" customHeight="1" x14ac:dyDescent="0.25">
      <c r="A14" s="17"/>
      <c r="G14" s="18"/>
      <c r="I14" s="20"/>
      <c r="J14" s="17"/>
      <c r="O14" s="17"/>
    </row>
    <row r="15" spans="1:18" ht="33.950000000000003" customHeight="1" x14ac:dyDescent="0.25">
      <c r="A15" s="17"/>
      <c r="G15" s="18"/>
      <c r="I15" s="20"/>
      <c r="J15" s="17"/>
      <c r="O15" s="17"/>
    </row>
    <row r="16" spans="1:18" ht="33.950000000000003" customHeight="1" x14ac:dyDescent="0.25">
      <c r="A16" s="17"/>
      <c r="G16" s="18"/>
      <c r="I16" s="20"/>
      <c r="J16" s="17"/>
      <c r="O16" s="17"/>
    </row>
    <row r="17" spans="1:15" ht="33.950000000000003" customHeight="1" x14ac:dyDescent="0.25">
      <c r="A17" s="17"/>
      <c r="G17" s="21"/>
      <c r="H17" s="22"/>
      <c r="I17" s="20"/>
      <c r="J17" s="17"/>
      <c r="O17" s="17"/>
    </row>
    <row r="18" spans="1:15" ht="33.950000000000003" customHeight="1" x14ac:dyDescent="0.25">
      <c r="A18" s="17"/>
      <c r="G18" s="21"/>
      <c r="H18" s="22"/>
      <c r="I18" s="20"/>
      <c r="J18" s="17"/>
      <c r="O18" s="17"/>
    </row>
    <row r="19" spans="1:15" ht="33.950000000000003" customHeight="1" x14ac:dyDescent="0.25">
      <c r="A19" s="17"/>
      <c r="G19" s="21"/>
      <c r="H19" s="22"/>
      <c r="I19" s="20"/>
      <c r="J19" s="17"/>
      <c r="O19" s="17"/>
    </row>
    <row r="20" spans="1:15" ht="33.950000000000003" customHeight="1" x14ac:dyDescent="0.25">
      <c r="A20" s="17"/>
      <c r="G20" s="21"/>
      <c r="H20" s="22"/>
      <c r="I20" s="20"/>
      <c r="J20" s="17"/>
      <c r="O20" s="17"/>
    </row>
    <row r="21" spans="1:15" ht="33.950000000000003" customHeight="1" x14ac:dyDescent="0.25">
      <c r="A21" s="17"/>
      <c r="G21" s="21"/>
      <c r="H21" s="22"/>
      <c r="I21" s="20"/>
      <c r="J21" s="17"/>
      <c r="O21" s="17"/>
    </row>
    <row r="22" spans="1:15" ht="33.950000000000003" customHeight="1" x14ac:dyDescent="0.25">
      <c r="A22" s="17"/>
      <c r="G22" s="21"/>
      <c r="H22" s="22"/>
      <c r="I22" s="20"/>
      <c r="J22" s="17"/>
      <c r="O22" s="17"/>
    </row>
    <row r="23" spans="1:15" ht="33.950000000000003" customHeight="1" x14ac:dyDescent="0.25">
      <c r="A23" s="17"/>
      <c r="G23" s="21"/>
      <c r="H23" s="22"/>
      <c r="I23" s="20"/>
      <c r="J23" s="17"/>
      <c r="O23" s="17"/>
    </row>
    <row r="24" spans="1:15" ht="33.950000000000003" customHeight="1" x14ac:dyDescent="0.25">
      <c r="A24" s="17"/>
      <c r="G24" s="21"/>
      <c r="H24" s="22"/>
      <c r="I24" s="20"/>
      <c r="J24" s="17"/>
      <c r="O24" s="17"/>
    </row>
    <row r="25" spans="1:15" ht="33.950000000000003" customHeight="1" x14ac:dyDescent="0.25">
      <c r="A25" s="17"/>
      <c r="G25" s="21"/>
      <c r="H25" s="22"/>
      <c r="I25" s="20"/>
      <c r="J25" s="17"/>
      <c r="O25" s="17"/>
    </row>
    <row r="26" spans="1:15" ht="33.950000000000003" customHeight="1" x14ac:dyDescent="0.25">
      <c r="A26" s="17"/>
      <c r="G26" s="21"/>
      <c r="H26" s="22"/>
      <c r="I26" s="20"/>
      <c r="J26" s="17"/>
      <c r="O26" s="17"/>
    </row>
    <row r="27" spans="1:15" ht="33.950000000000003" customHeight="1" x14ac:dyDescent="0.25">
      <c r="A27" s="17"/>
      <c r="G27" s="21"/>
      <c r="H27" s="22"/>
      <c r="I27" s="20"/>
      <c r="J27" s="17"/>
      <c r="O27" s="17"/>
    </row>
    <row r="28" spans="1:15" ht="33.950000000000003" customHeight="1" x14ac:dyDescent="0.25">
      <c r="A28" s="17"/>
      <c r="G28" s="21"/>
      <c r="H28" s="22"/>
      <c r="I28" s="20"/>
      <c r="J28" s="17"/>
      <c r="O28" s="17"/>
    </row>
    <row r="29" spans="1:15" ht="33.950000000000003" customHeight="1" x14ac:dyDescent="0.25">
      <c r="A29" s="17"/>
      <c r="G29" s="21"/>
      <c r="H29" s="22"/>
      <c r="I29" s="20"/>
      <c r="J29" s="17"/>
      <c r="O29" s="17"/>
    </row>
    <row r="30" spans="1:15" ht="33.950000000000003" customHeight="1" x14ac:dyDescent="0.25">
      <c r="A30" s="17"/>
      <c r="G30" s="21"/>
      <c r="H30" s="22"/>
      <c r="I30" s="20"/>
      <c r="J30" s="17"/>
      <c r="O30" s="17"/>
    </row>
    <row r="31" spans="1:15" ht="33.950000000000003" customHeight="1" x14ac:dyDescent="0.25">
      <c r="A31" s="17"/>
      <c r="G31" s="21"/>
      <c r="H31" s="22"/>
      <c r="I31" s="20"/>
      <c r="J31" s="17"/>
      <c r="O31" s="17"/>
    </row>
    <row r="32" spans="1:15" ht="33.950000000000003" customHeight="1" x14ac:dyDescent="0.25">
      <c r="A32" s="17"/>
      <c r="G32" s="21"/>
      <c r="H32" s="22"/>
      <c r="I32" s="20"/>
      <c r="J32" s="17"/>
      <c r="O32" s="17"/>
    </row>
    <row r="33" spans="1:15" ht="33.950000000000003" customHeight="1" x14ac:dyDescent="0.25">
      <c r="A33" s="17"/>
      <c r="G33" s="18"/>
      <c r="I33" s="20"/>
      <c r="J33" s="17"/>
      <c r="O33" s="17"/>
    </row>
    <row r="34" spans="1:15" ht="33.950000000000003" customHeight="1" x14ac:dyDescent="0.25">
      <c r="A34" s="17"/>
      <c r="G34" s="18"/>
      <c r="I34" s="20"/>
      <c r="J34" s="17"/>
      <c r="O34" s="17"/>
    </row>
    <row r="35" spans="1:15" ht="33.950000000000003" customHeight="1" x14ac:dyDescent="0.25">
      <c r="A35" s="17"/>
      <c r="G35" s="18"/>
      <c r="I35" s="20"/>
      <c r="J35" s="17"/>
      <c r="O35" s="17"/>
    </row>
    <row r="36" spans="1:15" ht="33.950000000000003" customHeight="1" x14ac:dyDescent="0.25">
      <c r="A36" s="17"/>
      <c r="G36" s="18"/>
      <c r="I36" s="20"/>
      <c r="J36" s="17"/>
      <c r="O36" s="17"/>
    </row>
    <row r="37" spans="1:15" ht="33.950000000000003" customHeight="1" x14ac:dyDescent="0.25">
      <c r="A37" s="17"/>
      <c r="G37" s="18"/>
      <c r="I37" s="20"/>
      <c r="J37" s="17"/>
      <c r="O37" s="17"/>
    </row>
    <row r="38" spans="1:15" ht="33.950000000000003" customHeight="1" x14ac:dyDescent="0.25">
      <c r="A38" s="17"/>
      <c r="G38" s="18"/>
      <c r="I38" s="20"/>
      <c r="J38" s="17"/>
      <c r="O38" s="17"/>
    </row>
    <row r="39" spans="1:15" ht="33.950000000000003" customHeight="1" x14ac:dyDescent="0.25">
      <c r="A39" s="17"/>
      <c r="G39" s="18"/>
      <c r="I39" s="20"/>
      <c r="J39" s="17"/>
      <c r="O39" s="17"/>
    </row>
    <row r="40" spans="1:15" ht="33.950000000000003" customHeight="1" x14ac:dyDescent="0.25">
      <c r="A40" s="17"/>
      <c r="G40" s="18"/>
      <c r="I40" s="20"/>
      <c r="J40" s="17"/>
      <c r="O40" s="17"/>
    </row>
    <row r="41" spans="1:15" ht="33.950000000000003" customHeight="1" x14ac:dyDescent="0.25">
      <c r="A41" s="17"/>
      <c r="G41" s="18"/>
      <c r="I41" s="20"/>
      <c r="J41" s="17"/>
      <c r="O41" s="17"/>
    </row>
    <row r="42" spans="1:15" ht="33.950000000000003" customHeight="1" x14ac:dyDescent="0.25">
      <c r="A42" s="17"/>
      <c r="G42" s="18"/>
      <c r="I42" s="20"/>
      <c r="J42" s="17"/>
      <c r="O42" s="17"/>
    </row>
    <row r="43" spans="1:15" ht="33.950000000000003" customHeight="1" x14ac:dyDescent="0.25">
      <c r="A43" s="17"/>
      <c r="G43" s="18"/>
      <c r="I43" s="20"/>
      <c r="J43" s="17"/>
      <c r="O43" s="17"/>
    </row>
    <row r="44" spans="1:15" ht="33.950000000000003" customHeight="1" x14ac:dyDescent="0.25">
      <c r="A44" s="17"/>
      <c r="G44" s="18"/>
      <c r="I44" s="20"/>
      <c r="J44" s="17"/>
      <c r="O44" s="17"/>
    </row>
    <row r="45" spans="1:15" ht="33.950000000000003" customHeight="1" x14ac:dyDescent="0.25">
      <c r="A45" s="17"/>
      <c r="G45" s="18"/>
      <c r="I45" s="20"/>
      <c r="J45" s="17"/>
      <c r="O45" s="17"/>
    </row>
    <row r="46" spans="1:15" ht="33.950000000000003" customHeight="1" x14ac:dyDescent="0.25">
      <c r="A46" s="17"/>
      <c r="G46" s="18"/>
      <c r="I46" s="20"/>
      <c r="J46" s="17"/>
      <c r="O46" s="17"/>
    </row>
    <row r="47" spans="1:15" ht="33.950000000000003" customHeight="1" x14ac:dyDescent="0.25">
      <c r="A47" s="17"/>
      <c r="G47" s="18"/>
      <c r="I47" s="20"/>
      <c r="J47" s="17"/>
      <c r="O47" s="17"/>
    </row>
    <row r="48" spans="1:15" ht="33.950000000000003" customHeight="1" x14ac:dyDescent="0.25">
      <c r="A48" s="17"/>
      <c r="G48" s="18"/>
      <c r="I48" s="20"/>
      <c r="J48" s="17"/>
      <c r="O48" s="17"/>
    </row>
    <row r="49" spans="1:15" ht="33.950000000000003" customHeight="1" x14ac:dyDescent="0.25">
      <c r="A49" s="17"/>
      <c r="G49" s="18"/>
      <c r="I49" s="20"/>
      <c r="J49" s="17"/>
      <c r="O49" s="17"/>
    </row>
    <row r="50" spans="1:15" ht="33.950000000000003" customHeight="1" x14ac:dyDescent="0.25">
      <c r="A50" s="17"/>
      <c r="G50" s="18"/>
      <c r="I50" s="20"/>
      <c r="J50" s="17"/>
      <c r="O50" s="17"/>
    </row>
    <row r="51" spans="1:15" ht="33.950000000000003" customHeight="1" x14ac:dyDescent="0.25">
      <c r="A51" s="17"/>
      <c r="G51" s="18"/>
      <c r="I51" s="20"/>
      <c r="J51" s="17"/>
      <c r="O51" s="17"/>
    </row>
    <row r="52" spans="1:15" ht="33.950000000000003" customHeight="1" x14ac:dyDescent="0.25">
      <c r="A52" s="17"/>
      <c r="G52" s="18"/>
      <c r="I52" s="20"/>
      <c r="J52" s="17"/>
      <c r="O52" s="17"/>
    </row>
    <row r="53" spans="1:15" ht="33.950000000000003" customHeight="1" x14ac:dyDescent="0.25">
      <c r="A53" s="17"/>
      <c r="G53" s="18"/>
      <c r="I53" s="20"/>
      <c r="J53" s="17"/>
      <c r="O53" s="17"/>
    </row>
    <row r="54" spans="1:15" ht="33.950000000000003" customHeight="1" x14ac:dyDescent="0.25">
      <c r="A54" s="17"/>
      <c r="G54" s="18"/>
      <c r="I54" s="20"/>
      <c r="J54" s="17"/>
      <c r="O54" s="17"/>
    </row>
    <row r="55" spans="1:15" ht="33.950000000000003" customHeight="1" x14ac:dyDescent="0.25">
      <c r="A55" s="17"/>
      <c r="G55" s="18"/>
      <c r="I55" s="20"/>
      <c r="J55" s="17"/>
      <c r="O55" s="17"/>
    </row>
    <row r="56" spans="1:15" ht="33.950000000000003" customHeight="1" x14ac:dyDescent="0.25">
      <c r="A56" s="17"/>
      <c r="G56" s="18"/>
      <c r="I56" s="20"/>
      <c r="J56" s="17"/>
      <c r="O56" s="17"/>
    </row>
    <row r="57" spans="1:15" ht="33.950000000000003" customHeight="1" x14ac:dyDescent="0.25">
      <c r="A57" s="17"/>
      <c r="G57" s="18"/>
      <c r="I57" s="20"/>
      <c r="J57" s="17"/>
      <c r="O57" s="17"/>
    </row>
    <row r="58" spans="1:15" ht="33.950000000000003" customHeight="1" x14ac:dyDescent="0.25">
      <c r="A58" s="17"/>
      <c r="G58" s="18"/>
      <c r="I58" s="20"/>
      <c r="J58" s="17"/>
      <c r="O58" s="17"/>
    </row>
    <row r="59" spans="1:15" ht="33.950000000000003" customHeight="1" x14ac:dyDescent="0.25">
      <c r="A59" s="17"/>
      <c r="G59" s="18"/>
      <c r="I59" s="20"/>
      <c r="J59" s="17"/>
      <c r="O59" s="17"/>
    </row>
    <row r="60" spans="1:15" ht="33.950000000000003" customHeight="1" x14ac:dyDescent="0.25">
      <c r="A60" s="17"/>
      <c r="G60" s="18"/>
      <c r="I60" s="20"/>
      <c r="J60" s="17"/>
      <c r="O60" s="17"/>
    </row>
    <row r="61" spans="1:15" ht="33.950000000000003" customHeight="1" x14ac:dyDescent="0.25">
      <c r="A61" s="17"/>
      <c r="G61" s="18"/>
      <c r="I61" s="20"/>
      <c r="J61" s="17"/>
      <c r="O61" s="17"/>
    </row>
    <row r="62" spans="1:15" ht="33.950000000000003" customHeight="1" x14ac:dyDescent="0.25">
      <c r="A62" s="17"/>
      <c r="G62" s="18"/>
      <c r="I62" s="20"/>
      <c r="J62" s="17"/>
      <c r="O62" s="17"/>
    </row>
    <row r="63" spans="1:15" ht="33.950000000000003" customHeight="1" x14ac:dyDescent="0.25">
      <c r="A63" s="17"/>
      <c r="G63" s="18"/>
      <c r="I63" s="20"/>
      <c r="J63" s="17"/>
      <c r="O63" s="17"/>
    </row>
    <row r="64" spans="1:15" ht="33.950000000000003" customHeight="1" x14ac:dyDescent="0.25">
      <c r="A64" s="17"/>
      <c r="G64" s="18"/>
      <c r="I64" s="20"/>
      <c r="J64" s="17"/>
      <c r="O64" s="17"/>
    </row>
    <row r="65" spans="1:15" ht="33.950000000000003" customHeight="1" x14ac:dyDescent="0.25">
      <c r="A65" s="17"/>
      <c r="G65" s="18"/>
      <c r="I65" s="20"/>
      <c r="J65" s="17"/>
      <c r="O65" s="17"/>
    </row>
    <row r="66" spans="1:15" ht="33.950000000000003" customHeight="1" x14ac:dyDescent="0.25">
      <c r="A66" s="17"/>
      <c r="G66" s="18"/>
      <c r="I66" s="20"/>
      <c r="J66" s="17"/>
      <c r="O66" s="17"/>
    </row>
    <row r="67" spans="1:15" ht="33.950000000000003" customHeight="1" x14ac:dyDescent="0.25">
      <c r="A67" s="17"/>
      <c r="G67" s="18"/>
      <c r="I67" s="20"/>
      <c r="J67" s="17"/>
      <c r="O67" s="17"/>
    </row>
    <row r="68" spans="1:15" ht="33.950000000000003" customHeight="1" x14ac:dyDescent="0.25">
      <c r="A68" s="17"/>
      <c r="G68" s="18"/>
      <c r="I68" s="20"/>
      <c r="J68" s="17"/>
      <c r="O68" s="17"/>
    </row>
    <row r="69" spans="1:15" ht="33.950000000000003" customHeight="1" x14ac:dyDescent="0.25">
      <c r="A69" s="17"/>
      <c r="G69" s="18"/>
      <c r="I69" s="20"/>
      <c r="J69" s="17"/>
      <c r="O69" s="17"/>
    </row>
    <row r="70" spans="1:15" ht="33.950000000000003" customHeight="1" x14ac:dyDescent="0.25">
      <c r="A70" s="17"/>
      <c r="G70" s="18"/>
      <c r="I70" s="20"/>
      <c r="J70" s="17"/>
      <c r="O70" s="17"/>
    </row>
    <row r="71" spans="1:15" ht="33.950000000000003" customHeight="1" x14ac:dyDescent="0.25">
      <c r="A71" s="17"/>
      <c r="G71" s="18"/>
      <c r="I71" s="20"/>
      <c r="J71" s="17"/>
      <c r="O71" s="17"/>
    </row>
    <row r="72" spans="1:15" ht="33.950000000000003" customHeight="1" x14ac:dyDescent="0.25">
      <c r="A72" s="17"/>
      <c r="G72" s="18"/>
      <c r="I72" s="20"/>
      <c r="J72" s="17"/>
      <c r="O72" s="17"/>
    </row>
    <row r="73" spans="1:15" ht="33.950000000000003" customHeight="1" x14ac:dyDescent="0.25">
      <c r="A73" s="17"/>
      <c r="G73" s="18"/>
      <c r="I73" s="20"/>
      <c r="J73" s="17"/>
      <c r="O73" s="17"/>
    </row>
    <row r="74" spans="1:15" ht="33.950000000000003" customHeight="1" x14ac:dyDescent="0.25">
      <c r="A74" s="17"/>
      <c r="G74" s="18"/>
      <c r="I74" s="20"/>
      <c r="J74" s="17"/>
      <c r="O74" s="17"/>
    </row>
    <row r="75" spans="1:15" ht="33.950000000000003" customHeight="1" x14ac:dyDescent="0.25">
      <c r="A75" s="17"/>
      <c r="G75" s="18"/>
      <c r="I75" s="20"/>
      <c r="J75" s="17"/>
      <c r="O75" s="17"/>
    </row>
    <row r="76" spans="1:15" ht="33.950000000000003" customHeight="1" x14ac:dyDescent="0.25">
      <c r="A76" s="17"/>
      <c r="G76" s="18"/>
      <c r="I76" s="20"/>
      <c r="J76" s="17"/>
      <c r="O76" s="17"/>
    </row>
    <row r="77" spans="1:15" ht="33.950000000000003" customHeight="1" x14ac:dyDescent="0.25">
      <c r="A77" s="17"/>
      <c r="G77" s="18"/>
      <c r="I77" s="20"/>
      <c r="J77" s="17"/>
      <c r="O77" s="17"/>
    </row>
    <row r="78" spans="1:15" ht="33.950000000000003" customHeight="1" x14ac:dyDescent="0.25">
      <c r="A78" s="17"/>
      <c r="G78" s="18"/>
      <c r="I78" s="20"/>
      <c r="J78" s="17"/>
      <c r="O78" s="17"/>
    </row>
    <row r="79" spans="1:15" ht="33.950000000000003" customHeight="1" x14ac:dyDescent="0.25">
      <c r="A79" s="17"/>
      <c r="G79" s="18"/>
      <c r="I79" s="20"/>
      <c r="J79" s="17"/>
      <c r="O79" s="17"/>
    </row>
    <row r="80" spans="1:15" ht="33.950000000000003" customHeight="1" x14ac:dyDescent="0.25">
      <c r="A80" s="17"/>
      <c r="G80" s="18"/>
      <c r="I80" s="20"/>
      <c r="J80" s="17"/>
      <c r="O80" s="17"/>
    </row>
    <row r="81" spans="1:15" ht="33.950000000000003" customHeight="1" x14ac:dyDescent="0.25">
      <c r="A81" s="17"/>
      <c r="G81" s="18"/>
      <c r="I81" s="20"/>
      <c r="J81" s="17"/>
      <c r="O81" s="17"/>
    </row>
    <row r="82" spans="1:15" ht="33.950000000000003" customHeight="1" x14ac:dyDescent="0.25">
      <c r="A82" s="17"/>
      <c r="G82" s="18"/>
      <c r="I82" s="20"/>
      <c r="J82" s="17"/>
      <c r="O82" s="17"/>
    </row>
    <row r="83" spans="1:15" ht="33.950000000000003" customHeight="1" x14ac:dyDescent="0.25">
      <c r="A83" s="17"/>
      <c r="G83" s="18"/>
      <c r="I83" s="20"/>
      <c r="J83" s="17"/>
      <c r="O83" s="17"/>
    </row>
    <row r="84" spans="1:15" ht="33.950000000000003" customHeight="1" x14ac:dyDescent="0.25">
      <c r="A84" s="17"/>
      <c r="G84" s="18"/>
      <c r="I84" s="20"/>
      <c r="J84" s="17"/>
      <c r="O84" s="17"/>
    </row>
    <row r="85" spans="1:15" ht="33.950000000000003" customHeight="1" x14ac:dyDescent="0.25">
      <c r="A85" s="17"/>
      <c r="G85" s="18"/>
      <c r="I85" s="20"/>
      <c r="J85" s="17"/>
      <c r="O85" s="17"/>
    </row>
    <row r="86" spans="1:15" ht="33.950000000000003" customHeight="1" x14ac:dyDescent="0.25">
      <c r="A86" s="17"/>
      <c r="G86" s="18"/>
      <c r="I86" s="20"/>
      <c r="J86" s="17"/>
      <c r="O86" s="17"/>
    </row>
    <row r="87" spans="1:15" ht="33.950000000000003" customHeight="1" x14ac:dyDescent="0.25">
      <c r="A87" s="17"/>
      <c r="G87" s="18"/>
      <c r="I87" s="20"/>
      <c r="J87" s="17"/>
      <c r="O87" s="17"/>
    </row>
    <row r="88" spans="1:15" ht="33.950000000000003" customHeight="1" x14ac:dyDescent="0.25">
      <c r="A88" s="17"/>
      <c r="G88" s="18"/>
      <c r="I88" s="20"/>
      <c r="J88" s="17"/>
      <c r="O88" s="17"/>
    </row>
    <row r="89" spans="1:15" ht="33.950000000000003" customHeight="1" x14ac:dyDescent="0.25">
      <c r="A89" s="17"/>
      <c r="G89" s="18"/>
      <c r="I89" s="20"/>
      <c r="J89" s="17"/>
      <c r="O89" s="17"/>
    </row>
    <row r="90" spans="1:15" ht="33.950000000000003" customHeight="1" x14ac:dyDescent="0.25">
      <c r="A90" s="17"/>
      <c r="G90" s="18"/>
      <c r="I90" s="20"/>
      <c r="J90" s="17"/>
      <c r="O90" s="17"/>
    </row>
    <row r="91" spans="1:15" ht="33.950000000000003" customHeight="1" x14ac:dyDescent="0.25">
      <c r="A91" s="17"/>
      <c r="G91" s="18"/>
      <c r="I91" s="20"/>
      <c r="J91" s="17"/>
      <c r="O91" s="17"/>
    </row>
    <row r="92" spans="1:15" x14ac:dyDescent="0.25">
      <c r="A92" s="17"/>
      <c r="G92" s="18"/>
      <c r="I92" s="20"/>
      <c r="J92" s="17"/>
      <c r="O92" s="17"/>
    </row>
    <row r="93" spans="1:15" x14ac:dyDescent="0.25">
      <c r="A93" s="17"/>
      <c r="G93" s="18"/>
      <c r="I93" s="20"/>
      <c r="J93" s="17"/>
      <c r="O93" s="17"/>
    </row>
    <row r="94" spans="1:15" x14ac:dyDescent="0.25">
      <c r="A94" s="17"/>
      <c r="G94" s="18"/>
      <c r="I94" s="20"/>
      <c r="J94" s="17"/>
      <c r="O94" s="17"/>
    </row>
    <row r="95" spans="1:15" x14ac:dyDescent="0.25">
      <c r="A95" s="17"/>
      <c r="G95" s="18"/>
      <c r="I95" s="20"/>
      <c r="J95" s="17"/>
      <c r="O95" s="17"/>
    </row>
    <row r="96" spans="1:15" x14ac:dyDescent="0.25">
      <c r="A96" s="17"/>
      <c r="G96" s="18"/>
      <c r="I96" s="20"/>
      <c r="J96" s="17"/>
      <c r="O96" s="17"/>
    </row>
    <row r="97" spans="1:15" x14ac:dyDescent="0.25">
      <c r="A97" s="17"/>
      <c r="G97" s="18"/>
      <c r="I97" s="20"/>
      <c r="J97" s="17"/>
      <c r="O97" s="17"/>
    </row>
    <row r="98" spans="1:15" x14ac:dyDescent="0.25">
      <c r="A98" s="17"/>
      <c r="G98" s="18"/>
      <c r="I98" s="20"/>
      <c r="J98" s="17"/>
      <c r="O98" s="17"/>
    </row>
    <row r="99" spans="1:15" x14ac:dyDescent="0.25">
      <c r="A99" s="17"/>
      <c r="G99" s="18"/>
      <c r="I99" s="20"/>
      <c r="J99" s="17"/>
      <c r="O99" s="17"/>
    </row>
    <row r="100" spans="1:15" x14ac:dyDescent="0.25">
      <c r="A100" s="17"/>
      <c r="G100" s="18"/>
      <c r="I100" s="17"/>
      <c r="J100" s="17"/>
      <c r="O100" s="17"/>
    </row>
  </sheetData>
  <mergeCells count="1">
    <mergeCell ref="A3:R3"/>
  </mergeCells>
  <conditionalFormatting sqref="I5:I100">
    <cfRule type="cellIs" dxfId="21" priority="1" operator="equal">
      <formula>"Critico"</formula>
    </cfRule>
  </conditionalFormatting>
  <pageMargins left="0.70866141732283472" right="0.70866141732283472" top="0.74803149606299213" bottom="0.74803149606299213" header="0.31496062992125984" footer="0.31496062992125984"/>
  <pageSetup scale="3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Bitacora_de_Insidentes_Riesgo_T</vt:lpstr>
      <vt:lpstr>Bitacora_de_Insidentes_Riesgo_T!Área_de_impresión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MARCELO AYALA HUANCA</dc:creator>
  <cp:lastModifiedBy>MARCO MARCELO AYALA HUANCA</cp:lastModifiedBy>
  <dcterms:created xsi:type="dcterms:W3CDTF">2025-12-15T18:18:22Z</dcterms:created>
  <dcterms:modified xsi:type="dcterms:W3CDTF">2025-12-15T18:19:15Z</dcterms:modified>
</cp:coreProperties>
</file>